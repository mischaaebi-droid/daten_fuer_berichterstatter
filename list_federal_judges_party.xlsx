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sch\bundesgericht-parteien-deutsch\"/>
    </mc:Choice>
  </mc:AlternateContent>
  <xr:revisionPtr revIDLastSave="0" documentId="13_ncr:1_{03F66F0C-2003-4FE8-9CC3-F651C9B8E9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5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3" i="1"/>
  <c r="I54" i="1"/>
  <c r="I55" i="1"/>
  <c r="I56" i="1"/>
  <c r="I57" i="1"/>
  <c r="I58" i="1"/>
  <c r="I59" i="1"/>
  <c r="I60" i="1"/>
  <c r="I61" i="1"/>
  <c r="I2" i="1"/>
</calcChain>
</file>

<file path=xl/sharedStrings.xml><?xml version="1.0" encoding="utf-8"?>
<sst xmlns="http://schemas.openxmlformats.org/spreadsheetml/2006/main" count="311" uniqueCount="206">
  <si>
    <t>SP</t>
  </si>
  <si>
    <t>SVP</t>
  </si>
  <si>
    <t>FDP</t>
  </si>
  <si>
    <t>Hänni</t>
  </si>
  <si>
    <t>Richard Weber</t>
  </si>
  <si>
    <t>Tanja Petrik-Haltiner</t>
  </si>
  <si>
    <t>Athos Mecca</t>
  </si>
  <si>
    <t>Christoph Bürki</t>
  </si>
  <si>
    <t>Dominique Hänni</t>
  </si>
  <si>
    <t>Markus Berger</t>
  </si>
  <si>
    <t>Fabrizio Monaci</t>
  </si>
  <si>
    <t>Sarah Bechaalany</t>
  </si>
  <si>
    <t>Serge Segura</t>
  </si>
  <si>
    <t>Mattia Pontarolo</t>
  </si>
  <si>
    <t>Christine Arndt</t>
  </si>
  <si>
    <t>Catherine Reiter</t>
  </si>
  <si>
    <t>Céline Courbat</t>
  </si>
  <si>
    <t>Cordula Lötscher</t>
  </si>
  <si>
    <t>Leonora Marti-Schreier</t>
  </si>
  <si>
    <t>Patrick Bischoff</t>
  </si>
  <si>
    <t>Caroline Schär</t>
  </si>
  <si>
    <t>Petrik-Haltiner</t>
  </si>
  <si>
    <t>Mecca</t>
  </si>
  <si>
    <t>Bürki</t>
  </si>
  <si>
    <t>Berger</t>
  </si>
  <si>
    <t>Vincent Martenet</t>
  </si>
  <si>
    <t>Weber</t>
  </si>
  <si>
    <t>Monaci</t>
  </si>
  <si>
    <t>Bechaalany</t>
  </si>
  <si>
    <t>Segura</t>
  </si>
  <si>
    <t>Pontarolo</t>
  </si>
  <si>
    <t>Arndt</t>
  </si>
  <si>
    <t>Reiter</t>
  </si>
  <si>
    <t>Courbat</t>
  </si>
  <si>
    <t>Lötscher</t>
  </si>
  <si>
    <t>Bischoff</t>
  </si>
  <si>
    <t>Schär</t>
  </si>
  <si>
    <t>Marti-Schreier</t>
  </si>
  <si>
    <t>Bernard Abrecht</t>
  </si>
  <si>
    <t>Waadt / Bern</t>
  </si>
  <si>
    <t>Abrecht</t>
  </si>
  <si>
    <t>Florence Aubry Girardin</t>
  </si>
  <si>
    <t>Jura</t>
  </si>
  <si>
    <t>Grüne</t>
  </si>
  <si>
    <t>Aubry Girardin</t>
  </si>
  <si>
    <t>Michael Beusch</t>
  </si>
  <si>
    <t>Zürich / St. Gallen</t>
  </si>
  <si>
    <t>Beusch</t>
  </si>
  <si>
    <t>Susanne Bollinger</t>
  </si>
  <si>
    <t>Schaffhausen</t>
  </si>
  <si>
    <t>Bollinger</t>
  </si>
  <si>
    <t>Grégory Bovey</t>
  </si>
  <si>
    <t>Waadt</t>
  </si>
  <si>
    <t>Bovey</t>
  </si>
  <si>
    <t>François Chaix</t>
  </si>
  <si>
    <t>Genf</t>
  </si>
  <si>
    <t>Chaix</t>
  </si>
  <si>
    <t>Christian Denys</t>
  </si>
  <si>
    <t>Denys</t>
  </si>
  <si>
    <t>Federica De Rossa</t>
  </si>
  <si>
    <t>Tessin</t>
  </si>
  <si>
    <t>De Rossa</t>
  </si>
  <si>
    <t>Yves Donzallaz</t>
  </si>
  <si>
    <t>Freiburg</t>
  </si>
  <si>
    <t>parteilos (ex SVP)</t>
  </si>
  <si>
    <t>Donzallaz</t>
  </si>
  <si>
    <t>Ivo Eusebio</t>
  </si>
  <si>
    <t>CVP</t>
  </si>
  <si>
    <t>Eusebio</t>
  </si>
  <si>
    <t>Jean Fonjallaz</t>
  </si>
  <si>
    <t>Fonjallaz</t>
  </si>
  <si>
    <t>Jean-Maurice Frésard</t>
  </si>
  <si>
    <t>Frésard</t>
  </si>
  <si>
    <t>Lucrezia Glanzmann</t>
  </si>
  <si>
    <t>Graubünden</t>
  </si>
  <si>
    <t>Glanzmann</t>
  </si>
  <si>
    <t>David Glassey</t>
  </si>
  <si>
    <t>Wallis</t>
  </si>
  <si>
    <t>Die Mitte</t>
  </si>
  <si>
    <t>Glassey</t>
  </si>
  <si>
    <t>Patrick Guidon</t>
  </si>
  <si>
    <t>Guidon</t>
  </si>
  <si>
    <t>Stefan Haag</t>
  </si>
  <si>
    <t>Thurgau</t>
  </si>
  <si>
    <t>GLP</t>
  </si>
  <si>
    <t>Haag</t>
  </si>
  <si>
    <t>Julia Hänni</t>
  </si>
  <si>
    <t>Bern</t>
  </si>
  <si>
    <t>Stephan Hartmann</t>
  </si>
  <si>
    <t>Aargau</t>
  </si>
  <si>
    <t>Hartmann</t>
  </si>
  <si>
    <t>Alexia Heine</t>
  </si>
  <si>
    <t>Luzern / Zürich</t>
  </si>
  <si>
    <t>Heine</t>
  </si>
  <si>
    <t>Christian Herrmann</t>
  </si>
  <si>
    <t>Herrmann</t>
  </si>
  <si>
    <t>Fabienne Hohl</t>
  </si>
  <si>
    <t>Hohl</t>
  </si>
  <si>
    <t>Yann-Eric Hofmann</t>
  </si>
  <si>
    <t>Hofmann</t>
  </si>
  <si>
    <t>Christoph Hurni</t>
  </si>
  <si>
    <t>Hurni</t>
  </si>
  <si>
    <t>Laura Jacquemoud-Rossari</t>
  </si>
  <si>
    <t>Jacquemoud-Rossari</t>
  </si>
  <si>
    <t>Monique Jametti</t>
  </si>
  <si>
    <t>Tessin / Basel-Stadt</t>
  </si>
  <si>
    <t>Jametti</t>
  </si>
  <si>
    <t>Christian Josi</t>
  </si>
  <si>
    <t>Josi</t>
  </si>
  <si>
    <t>Peter Karlen</t>
  </si>
  <si>
    <t>Karlen</t>
  </si>
  <si>
    <t>Yves Kernen</t>
  </si>
  <si>
    <t>Kernen</t>
  </si>
  <si>
    <t>Christina Kiss</t>
  </si>
  <si>
    <t>Zürich</t>
  </si>
  <si>
    <t>Kiss</t>
  </si>
  <si>
    <t>Lorenz Kneubühler</t>
  </si>
  <si>
    <t>Kneubühler</t>
  </si>
  <si>
    <t>Sonja Koch</t>
  </si>
  <si>
    <t>Koch</t>
  </si>
  <si>
    <t>Christian Kölz</t>
  </si>
  <si>
    <t>Zürich / Basel-Stadt</t>
  </si>
  <si>
    <t>Kölz</t>
  </si>
  <si>
    <t>Matthias Kradolfer</t>
  </si>
  <si>
    <t>Kradolfer</t>
  </si>
  <si>
    <t>Marcel Maillard</t>
  </si>
  <si>
    <t>Maillard</t>
  </si>
  <si>
    <t>Luca Marazzi</t>
  </si>
  <si>
    <t>Marazzi</t>
  </si>
  <si>
    <t>Hans Mathys</t>
  </si>
  <si>
    <t>Mathys</t>
  </si>
  <si>
    <t>Marie-Chantal May Canellas</t>
  </si>
  <si>
    <t>May Canellas</t>
  </si>
  <si>
    <t>Laurent Merz</t>
  </si>
  <si>
    <t>Merz</t>
  </si>
  <si>
    <t>Jean Métral</t>
  </si>
  <si>
    <t>Métral</t>
  </si>
  <si>
    <t>Margit Moser-Szeless</t>
  </si>
  <si>
    <t>Genf / Luzern</t>
  </si>
  <si>
    <t>Moser-Szeless</t>
  </si>
  <si>
    <t>Thomas Müller</t>
  </si>
  <si>
    <t>Müller</t>
  </si>
  <si>
    <t>Giuseppe Muschietti</t>
  </si>
  <si>
    <t>Muschietti</t>
  </si>
  <si>
    <t>Martha Niquille</t>
  </si>
  <si>
    <t>St. Gallen / Freiburg</t>
  </si>
  <si>
    <t>Niquille</t>
  </si>
  <si>
    <t>Niklaus Oberholzer</t>
  </si>
  <si>
    <t>St. Gallen</t>
  </si>
  <si>
    <t>Oberholzer</t>
  </si>
  <si>
    <t>Francesco Parrino</t>
  </si>
  <si>
    <t>Parrino</t>
  </si>
  <si>
    <t>Brigitte Pfiffner</t>
  </si>
  <si>
    <t>Pfiffner</t>
  </si>
  <si>
    <t>Yves Rüedi</t>
  </si>
  <si>
    <t>Glarus / Thurgau</t>
  </si>
  <si>
    <t>Rüedi</t>
  </si>
  <si>
    <t>Marianne Ryter</t>
  </si>
  <si>
    <t>Ryter</t>
  </si>
  <si>
    <t>Karin Scherrer Reber</t>
  </si>
  <si>
    <t>Basel-Landschaft</t>
  </si>
  <si>
    <t>Scherrer Reber</t>
  </si>
  <si>
    <t>Felix Schöbi</t>
  </si>
  <si>
    <t>Schöbi</t>
  </si>
  <si>
    <t>Thomas Stadelmann</t>
  </si>
  <si>
    <t>Luzern</t>
  </si>
  <si>
    <t>Stadelmann</t>
  </si>
  <si>
    <t>Rudolf Ursprung</t>
  </si>
  <si>
    <t>Ursprung</t>
  </si>
  <si>
    <t>Beatrice van de Graaf</t>
  </si>
  <si>
    <t>Schwyz</t>
  </si>
  <si>
    <t>van de Graaf</t>
  </si>
  <si>
    <t>Daniela Viscione</t>
  </si>
  <si>
    <t>Thurgau / Zürich</t>
  </si>
  <si>
    <t>Viscione</t>
  </si>
  <si>
    <t>Rolf von Felten</t>
  </si>
  <si>
    <t>Solothurn</t>
  </si>
  <si>
    <t>von Felten</t>
  </si>
  <si>
    <t>Nicolas von Werdt</t>
  </si>
  <si>
    <t>von Werdt</t>
  </si>
  <si>
    <t>Martin Wirthlin</t>
  </si>
  <si>
    <t>Wirthlin</t>
  </si>
  <si>
    <t>Sandra Wohlhauser</t>
  </si>
  <si>
    <t>Wohlhauser</t>
  </si>
  <si>
    <t>Andreas Zünd</t>
  </si>
  <si>
    <t>Zünd</t>
  </si>
  <si>
    <t>party</t>
  </si>
  <si>
    <t>Arthur Brunner</t>
  </si>
  <si>
    <t>Brunner</t>
  </si>
  <si>
    <t>D. Hänni</t>
  </si>
  <si>
    <t>Marie-Claire Pont Veuthey</t>
  </si>
  <si>
    <t>Pont Veuthey</t>
  </si>
  <si>
    <t>Martenet</t>
  </si>
  <si>
    <t>Beata Maria Wasser-Keller</t>
  </si>
  <si>
    <t>Jeremias Fellmann</t>
  </si>
  <si>
    <t>Fellmann</t>
  </si>
  <si>
    <t>Wasser-Keller</t>
  </si>
  <si>
    <t>election</t>
  </si>
  <si>
    <t>birth</t>
  </si>
  <si>
    <t>party_raw</t>
  </si>
  <si>
    <t>both_names</t>
  </si>
  <si>
    <t>name</t>
  </si>
  <si>
    <t>kanton(district)</t>
  </si>
  <si>
    <t>retired</t>
  </si>
  <si>
    <t>died</t>
  </si>
  <si>
    <t>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</si>
</sst>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activeCell="M11" sqref="M11"/>
    </sheetView>
  </sheetViews>
  <sheetFormatPr baseColWidth="10" defaultColWidth="8.85546875" defaultRowHeight="15" x14ac:dyDescent="0.25"/>
  <cols>
    <col min="1" max="1" width="29.85546875" customWidth="1"/>
    <col min="5" max="5" width="16.5703125" customWidth="1"/>
    <col min="6" max="6" width="16.28515625" customWidth="1"/>
    <col min="7" max="7" width="9.42578125" customWidth="1"/>
    <col min="8" max="8" width="27" customWidth="1"/>
    <col min="9" max="9" width="21.140625" customWidth="1"/>
  </cols>
  <sheetData>
    <row r="1" spans="1:9" x14ac:dyDescent="0.25">
      <c r="A1" t="s">
        <v>200</v>
      </c>
      <c r="B1" t="s">
        <v>197</v>
      </c>
      <c r="C1" s="1" t="s">
        <v>203</v>
      </c>
      <c r="D1" t="s">
        <v>198</v>
      </c>
      <c r="E1" t="s">
        <v>204</v>
      </c>
      <c r="F1" t="s">
        <v>202</v>
      </c>
      <c r="G1" t="s">
        <v>199</v>
      </c>
      <c r="H1" t="s">
        <v>201</v>
      </c>
      <c r="I1" t="s">
        <v>186</v>
      </c>
    </row>
    <row r="2" spans="1:9" x14ac:dyDescent="0.25">
      <c r="A2" s="2" t="s">
        <v>187</v>
      </c>
      <c r="B2" s="2">
        <v>2026</v>
      </c>
      <c r="C2" s="2"/>
      <c r="D2" s="2"/>
      <c r="E2" s="2"/>
      <c r="F2" s="2"/>
      <c r="G2" s="2" t="s">
        <v>1</v>
      </c>
      <c r="H2" s="2" t="s">
        <v>188</v>
      </c>
      <c r="I2" s="2" t="str">
        <f>IF(OR(G2="CVP",27="Die Mitte"),"Die Mitte",G2)</f>
        <v>SVP</v>
      </c>
    </row>
    <row r="3" spans="1:9" x14ac:dyDescent="0.25">
      <c r="A3" s="2" t="s">
        <v>38</v>
      </c>
      <c r="B3" s="2">
        <v>2019</v>
      </c>
      <c r="C3" s="2"/>
      <c r="D3" s="2">
        <v>1966</v>
      </c>
      <c r="E3" s="2"/>
      <c r="F3" s="2" t="s">
        <v>39</v>
      </c>
      <c r="G3" s="2" t="s">
        <v>0</v>
      </c>
      <c r="H3" s="2" t="s">
        <v>40</v>
      </c>
      <c r="I3" s="2" t="str">
        <f t="shared" ref="I3:I61" si="0">IF(OR(G3="CVP",27="Die Mitte"),"Die Mitte",G3)</f>
        <v>SP</v>
      </c>
    </row>
    <row r="4" spans="1:9" x14ac:dyDescent="0.25">
      <c r="A4" s="2" t="s">
        <v>41</v>
      </c>
      <c r="B4" s="2">
        <v>2007</v>
      </c>
      <c r="C4" s="2"/>
      <c r="D4" s="2">
        <v>1964</v>
      </c>
      <c r="E4" s="2"/>
      <c r="F4" s="2" t="s">
        <v>42</v>
      </c>
      <c r="G4" s="2" t="s">
        <v>43</v>
      </c>
      <c r="H4" s="2" t="s">
        <v>44</v>
      </c>
      <c r="I4" s="2" t="str">
        <f t="shared" si="0"/>
        <v>Grüne</v>
      </c>
    </row>
    <row r="5" spans="1:9" x14ac:dyDescent="0.25">
      <c r="A5" s="2" t="s">
        <v>45</v>
      </c>
      <c r="B5" s="2">
        <v>2019</v>
      </c>
      <c r="C5" s="2"/>
      <c r="D5" s="2">
        <v>1969</v>
      </c>
      <c r="E5" s="2"/>
      <c r="F5" s="2" t="s">
        <v>46</v>
      </c>
      <c r="G5" s="2" t="s">
        <v>0</v>
      </c>
      <c r="H5" s="2" t="s">
        <v>47</v>
      </c>
      <c r="I5" s="2" t="str">
        <f t="shared" si="0"/>
        <v>SP</v>
      </c>
    </row>
    <row r="6" spans="1:9" x14ac:dyDescent="0.25">
      <c r="A6" t="s">
        <v>48</v>
      </c>
      <c r="B6">
        <v>2024</v>
      </c>
      <c r="D6">
        <v>1974</v>
      </c>
      <c r="F6" t="s">
        <v>49</v>
      </c>
      <c r="G6" t="s">
        <v>1</v>
      </c>
      <c r="H6" t="s">
        <v>50</v>
      </c>
      <c r="I6" t="str">
        <f t="shared" si="0"/>
        <v>SVP</v>
      </c>
    </row>
    <row r="7" spans="1:9" x14ac:dyDescent="0.25">
      <c r="A7" t="s">
        <v>51</v>
      </c>
      <c r="B7">
        <v>2014</v>
      </c>
      <c r="D7">
        <v>1973</v>
      </c>
      <c r="F7" t="s">
        <v>52</v>
      </c>
      <c r="G7" t="s">
        <v>2</v>
      </c>
      <c r="H7" t="s">
        <v>53</v>
      </c>
      <c r="I7" t="str">
        <f t="shared" si="0"/>
        <v>FDP</v>
      </c>
    </row>
    <row r="8" spans="1:9" x14ac:dyDescent="0.25">
      <c r="A8" t="s">
        <v>54</v>
      </c>
      <c r="B8">
        <v>2011</v>
      </c>
      <c r="D8">
        <v>1964</v>
      </c>
      <c r="F8" t="s">
        <v>55</v>
      </c>
      <c r="G8" t="s">
        <v>2</v>
      </c>
      <c r="H8" t="s">
        <v>56</v>
      </c>
      <c r="I8" t="str">
        <f t="shared" si="0"/>
        <v>FDP</v>
      </c>
    </row>
    <row r="9" spans="1:9" x14ac:dyDescent="0.25">
      <c r="A9" t="s">
        <v>57</v>
      </c>
      <c r="B9">
        <v>2011</v>
      </c>
      <c r="D9">
        <v>1967</v>
      </c>
      <c r="F9" t="s">
        <v>52</v>
      </c>
      <c r="G9" t="s">
        <v>43</v>
      </c>
      <c r="H9" t="s">
        <v>58</v>
      </c>
      <c r="I9" t="str">
        <f t="shared" si="0"/>
        <v>Grüne</v>
      </c>
    </row>
    <row r="10" spans="1:9" x14ac:dyDescent="0.25">
      <c r="A10" t="s">
        <v>59</v>
      </c>
      <c r="B10">
        <v>2022</v>
      </c>
      <c r="D10">
        <v>1974</v>
      </c>
      <c r="F10" t="s">
        <v>60</v>
      </c>
      <c r="G10" t="s">
        <v>0</v>
      </c>
      <c r="H10" t="s">
        <v>61</v>
      </c>
      <c r="I10" t="str">
        <f t="shared" si="0"/>
        <v>SP</v>
      </c>
    </row>
    <row r="11" spans="1:9" x14ac:dyDescent="0.25">
      <c r="A11" t="s">
        <v>62</v>
      </c>
      <c r="B11">
        <v>2008</v>
      </c>
      <c r="D11">
        <v>1961</v>
      </c>
      <c r="F11" t="s">
        <v>63</v>
      </c>
      <c r="G11" t="s">
        <v>64</v>
      </c>
      <c r="H11" t="s">
        <v>65</v>
      </c>
      <c r="I11" t="str">
        <f t="shared" si="0"/>
        <v>parteilos (ex SVP)</v>
      </c>
    </row>
    <row r="12" spans="1:9" x14ac:dyDescent="0.25">
      <c r="A12" t="s">
        <v>66</v>
      </c>
      <c r="B12">
        <v>2004</v>
      </c>
      <c r="C12">
        <v>2018</v>
      </c>
      <c r="D12">
        <v>1950</v>
      </c>
      <c r="F12" t="s">
        <v>60</v>
      </c>
      <c r="G12" t="s">
        <v>67</v>
      </c>
      <c r="H12" t="s">
        <v>68</v>
      </c>
      <c r="I12" t="str">
        <f t="shared" si="0"/>
        <v>Die Mitte</v>
      </c>
    </row>
    <row r="13" spans="1:9" x14ac:dyDescent="0.25">
      <c r="A13" t="s">
        <v>69</v>
      </c>
      <c r="B13">
        <v>2002</v>
      </c>
      <c r="C13">
        <v>2020</v>
      </c>
      <c r="D13">
        <v>1957</v>
      </c>
      <c r="F13" t="s">
        <v>52</v>
      </c>
      <c r="G13" t="s">
        <v>0</v>
      </c>
      <c r="H13" t="s">
        <v>70</v>
      </c>
      <c r="I13" t="str">
        <f t="shared" si="0"/>
        <v>SP</v>
      </c>
    </row>
    <row r="14" spans="1:9" x14ac:dyDescent="0.25">
      <c r="A14" t="s">
        <v>71</v>
      </c>
      <c r="B14">
        <v>2002</v>
      </c>
      <c r="C14">
        <v>2019</v>
      </c>
      <c r="D14">
        <v>1953</v>
      </c>
      <c r="F14" t="s">
        <v>42</v>
      </c>
      <c r="G14" t="s">
        <v>0</v>
      </c>
      <c r="H14" t="s">
        <v>72</v>
      </c>
      <c r="I14" t="str">
        <f t="shared" si="0"/>
        <v>SP</v>
      </c>
    </row>
    <row r="15" spans="1:9" x14ac:dyDescent="0.25">
      <c r="A15" t="s">
        <v>73</v>
      </c>
      <c r="B15">
        <v>2011</v>
      </c>
      <c r="C15">
        <v>2022</v>
      </c>
      <c r="D15">
        <v>1965</v>
      </c>
      <c r="E15">
        <v>2022</v>
      </c>
      <c r="F15" t="s">
        <v>74</v>
      </c>
      <c r="G15" t="s">
        <v>2</v>
      </c>
      <c r="H15" t="s">
        <v>75</v>
      </c>
      <c r="I15" t="str">
        <f t="shared" si="0"/>
        <v>FDP</v>
      </c>
    </row>
    <row r="16" spans="1:9" x14ac:dyDescent="0.25">
      <c r="A16" t="s">
        <v>76</v>
      </c>
      <c r="B16">
        <v>2025</v>
      </c>
      <c r="D16">
        <v>1977</v>
      </c>
      <c r="F16" t="s">
        <v>77</v>
      </c>
      <c r="G16" t="s">
        <v>78</v>
      </c>
      <c r="H16" t="s">
        <v>79</v>
      </c>
      <c r="I16" t="str">
        <f t="shared" si="0"/>
        <v>Die Mitte</v>
      </c>
    </row>
    <row r="17" spans="1:9" x14ac:dyDescent="0.25">
      <c r="A17" t="s">
        <v>80</v>
      </c>
      <c r="B17">
        <v>2024</v>
      </c>
      <c r="D17">
        <v>1976</v>
      </c>
      <c r="F17" t="s">
        <v>74</v>
      </c>
      <c r="G17" t="s">
        <v>1</v>
      </c>
      <c r="H17" t="s">
        <v>81</v>
      </c>
      <c r="I17" t="str">
        <f t="shared" si="0"/>
        <v>SVP</v>
      </c>
    </row>
    <row r="18" spans="1:9" x14ac:dyDescent="0.25">
      <c r="A18" t="s">
        <v>82</v>
      </c>
      <c r="B18">
        <v>2014</v>
      </c>
      <c r="D18">
        <v>1960</v>
      </c>
      <c r="F18" t="s">
        <v>83</v>
      </c>
      <c r="G18" t="s">
        <v>84</v>
      </c>
      <c r="H18" t="s">
        <v>85</v>
      </c>
      <c r="I18" t="str">
        <f t="shared" si="0"/>
        <v>GLP</v>
      </c>
    </row>
    <row r="19" spans="1:9" x14ac:dyDescent="0.25">
      <c r="A19" t="s">
        <v>86</v>
      </c>
      <c r="B19">
        <v>2019</v>
      </c>
      <c r="D19">
        <v>1977</v>
      </c>
      <c r="F19" t="s">
        <v>87</v>
      </c>
      <c r="G19" t="s">
        <v>78</v>
      </c>
      <c r="H19" t="s">
        <v>3</v>
      </c>
      <c r="I19" t="str">
        <f t="shared" si="0"/>
        <v>Die Mitte</v>
      </c>
    </row>
    <row r="20" spans="1:9" x14ac:dyDescent="0.25">
      <c r="A20" t="s">
        <v>88</v>
      </c>
      <c r="B20">
        <v>2021</v>
      </c>
      <c r="D20">
        <v>1972</v>
      </c>
      <c r="F20" t="s">
        <v>89</v>
      </c>
      <c r="G20" t="s">
        <v>43</v>
      </c>
      <c r="H20" t="s">
        <v>90</v>
      </c>
      <c r="I20" t="str">
        <f t="shared" si="0"/>
        <v>Grüne</v>
      </c>
    </row>
    <row r="21" spans="1:9" x14ac:dyDescent="0.25">
      <c r="A21" t="s">
        <v>91</v>
      </c>
      <c r="B21">
        <v>2012</v>
      </c>
      <c r="D21">
        <v>1969</v>
      </c>
      <c r="F21" t="s">
        <v>92</v>
      </c>
      <c r="G21" t="s">
        <v>1</v>
      </c>
      <c r="H21" t="s">
        <v>93</v>
      </c>
      <c r="I21" t="str">
        <f t="shared" si="0"/>
        <v>SVP</v>
      </c>
    </row>
    <row r="22" spans="1:9" x14ac:dyDescent="0.25">
      <c r="A22" t="s">
        <v>94</v>
      </c>
      <c r="B22">
        <v>2009</v>
      </c>
      <c r="D22">
        <v>1961</v>
      </c>
      <c r="F22" t="s">
        <v>87</v>
      </c>
      <c r="G22" t="s">
        <v>1</v>
      </c>
      <c r="H22" t="s">
        <v>95</v>
      </c>
      <c r="I22" t="str">
        <f t="shared" si="0"/>
        <v>SVP</v>
      </c>
    </row>
    <row r="23" spans="1:9" x14ac:dyDescent="0.25">
      <c r="A23" t="s">
        <v>96</v>
      </c>
      <c r="B23">
        <v>2002</v>
      </c>
      <c r="C23">
        <v>2024</v>
      </c>
      <c r="D23">
        <v>1956</v>
      </c>
      <c r="F23" t="s">
        <v>83</v>
      </c>
      <c r="G23" t="s">
        <v>2</v>
      </c>
      <c r="H23" t="s">
        <v>97</v>
      </c>
      <c r="I23" t="str">
        <f t="shared" si="0"/>
        <v>FDP</v>
      </c>
    </row>
    <row r="24" spans="1:9" x14ac:dyDescent="0.25">
      <c r="A24" t="s">
        <v>98</v>
      </c>
      <c r="B24">
        <v>2023</v>
      </c>
      <c r="D24">
        <v>1978</v>
      </c>
      <c r="F24" t="s">
        <v>87</v>
      </c>
      <c r="G24" t="s">
        <v>78</v>
      </c>
      <c r="H24" t="s">
        <v>99</v>
      </c>
      <c r="I24" t="str">
        <f>IF(OR(G24="CVP",27="Die Mitte"),"Die Mitte",G24)</f>
        <v>Die Mitte</v>
      </c>
    </row>
    <row r="25" spans="1:9" x14ac:dyDescent="0.25">
      <c r="A25" t="s">
        <v>100</v>
      </c>
      <c r="B25">
        <v>2020</v>
      </c>
      <c r="D25">
        <v>1979</v>
      </c>
      <c r="F25" t="s">
        <v>87</v>
      </c>
      <c r="G25" t="s">
        <v>84</v>
      </c>
      <c r="H25" t="s">
        <v>101</v>
      </c>
      <c r="I25" t="str">
        <f t="shared" si="0"/>
        <v>GLP</v>
      </c>
    </row>
    <row r="26" spans="1:9" x14ac:dyDescent="0.25">
      <c r="A26" t="s">
        <v>102</v>
      </c>
      <c r="B26">
        <v>2007</v>
      </c>
      <c r="D26">
        <v>1957</v>
      </c>
      <c r="F26" t="s">
        <v>55</v>
      </c>
      <c r="G26" t="s">
        <v>78</v>
      </c>
      <c r="H26" t="s">
        <v>103</v>
      </c>
      <c r="I26" t="str">
        <f t="shared" si="0"/>
        <v>Die Mitte</v>
      </c>
    </row>
    <row r="27" spans="1:9" x14ac:dyDescent="0.25">
      <c r="A27" t="s">
        <v>104</v>
      </c>
      <c r="B27">
        <v>2015</v>
      </c>
      <c r="C27">
        <v>2024</v>
      </c>
      <c r="D27">
        <v>1956</v>
      </c>
      <c r="F27" t="s">
        <v>105</v>
      </c>
      <c r="G27" t="s">
        <v>1</v>
      </c>
      <c r="H27" t="s">
        <v>106</v>
      </c>
      <c r="I27" t="str">
        <f t="shared" si="0"/>
        <v>SVP</v>
      </c>
    </row>
    <row r="28" spans="1:9" x14ac:dyDescent="0.25">
      <c r="A28" t="s">
        <v>107</v>
      </c>
      <c r="B28">
        <v>2024</v>
      </c>
      <c r="D28">
        <v>1973</v>
      </c>
      <c r="F28" t="s">
        <v>87</v>
      </c>
      <c r="G28" t="s">
        <v>1</v>
      </c>
      <c r="H28" t="s">
        <v>108</v>
      </c>
      <c r="I28" t="str">
        <f t="shared" si="0"/>
        <v>SVP</v>
      </c>
    </row>
    <row r="29" spans="1:9" x14ac:dyDescent="0.25">
      <c r="A29" t="s">
        <v>109</v>
      </c>
      <c r="B29">
        <v>2001</v>
      </c>
      <c r="C29">
        <v>2019</v>
      </c>
      <c r="D29">
        <v>1958</v>
      </c>
      <c r="F29" t="s">
        <v>87</v>
      </c>
      <c r="G29" t="s">
        <v>1</v>
      </c>
      <c r="H29" t="s">
        <v>110</v>
      </c>
      <c r="I29" t="str">
        <f t="shared" si="0"/>
        <v>SVP</v>
      </c>
    </row>
    <row r="30" spans="1:9" x14ac:dyDescent="0.25">
      <c r="A30" t="s">
        <v>111</v>
      </c>
      <c r="B30">
        <v>2001</v>
      </c>
      <c r="C30">
        <v>2014</v>
      </c>
      <c r="D30">
        <v>1955</v>
      </c>
      <c r="F30" t="s">
        <v>55</v>
      </c>
      <c r="G30" t="s">
        <v>1</v>
      </c>
      <c r="H30" t="s">
        <v>112</v>
      </c>
      <c r="I30" t="str">
        <f t="shared" si="0"/>
        <v>SVP</v>
      </c>
    </row>
    <row r="31" spans="1:9" x14ac:dyDescent="0.25">
      <c r="A31" t="s">
        <v>113</v>
      </c>
      <c r="B31">
        <v>2003</v>
      </c>
      <c r="D31">
        <v>1960</v>
      </c>
      <c r="F31" t="s">
        <v>114</v>
      </c>
      <c r="G31" t="s">
        <v>2</v>
      </c>
      <c r="H31" t="s">
        <v>115</v>
      </c>
      <c r="I31" t="str">
        <f t="shared" si="0"/>
        <v>FDP</v>
      </c>
    </row>
    <row r="32" spans="1:9" x14ac:dyDescent="0.25">
      <c r="A32" t="s">
        <v>116</v>
      </c>
      <c r="B32">
        <v>2012</v>
      </c>
      <c r="D32">
        <v>1965</v>
      </c>
      <c r="F32" t="s">
        <v>87</v>
      </c>
      <c r="G32" t="s">
        <v>0</v>
      </c>
      <c r="H32" t="s">
        <v>117</v>
      </c>
      <c r="I32" t="str">
        <f t="shared" si="0"/>
        <v>SP</v>
      </c>
    </row>
    <row r="33" spans="1:9" x14ac:dyDescent="0.25">
      <c r="A33" t="s">
        <v>118</v>
      </c>
      <c r="B33">
        <v>2019</v>
      </c>
      <c r="D33">
        <v>1976</v>
      </c>
      <c r="F33" t="s">
        <v>89</v>
      </c>
      <c r="G33" t="s">
        <v>1</v>
      </c>
      <c r="H33" t="s">
        <v>119</v>
      </c>
      <c r="I33" t="str">
        <f t="shared" si="0"/>
        <v>SVP</v>
      </c>
    </row>
    <row r="34" spans="1:9" x14ac:dyDescent="0.25">
      <c r="A34" t="s">
        <v>120</v>
      </c>
      <c r="B34">
        <v>2022</v>
      </c>
      <c r="D34">
        <v>1980</v>
      </c>
      <c r="F34" t="s">
        <v>121</v>
      </c>
      <c r="G34" t="s">
        <v>43</v>
      </c>
      <c r="H34" t="s">
        <v>122</v>
      </c>
      <c r="I34" t="str">
        <f t="shared" si="0"/>
        <v>Grüne</v>
      </c>
    </row>
    <row r="35" spans="1:9" x14ac:dyDescent="0.25">
      <c r="A35" t="s">
        <v>123</v>
      </c>
      <c r="B35">
        <v>2023</v>
      </c>
      <c r="D35">
        <v>1985</v>
      </c>
      <c r="F35" t="s">
        <v>83</v>
      </c>
      <c r="G35" t="s">
        <v>2</v>
      </c>
      <c r="H35" t="s">
        <v>124</v>
      </c>
      <c r="I35" t="str">
        <f t="shared" si="0"/>
        <v>FDP</v>
      </c>
    </row>
    <row r="36" spans="1:9" x14ac:dyDescent="0.25">
      <c r="A36" t="s">
        <v>125</v>
      </c>
      <c r="B36">
        <v>2008</v>
      </c>
      <c r="D36">
        <v>1959</v>
      </c>
      <c r="F36" t="s">
        <v>63</v>
      </c>
      <c r="G36" t="s">
        <v>78</v>
      </c>
      <c r="H36" t="s">
        <v>126</v>
      </c>
      <c r="I36" t="str">
        <f t="shared" si="0"/>
        <v>Die Mitte</v>
      </c>
    </row>
    <row r="37" spans="1:9" x14ac:dyDescent="0.25">
      <c r="A37" t="s">
        <v>127</v>
      </c>
      <c r="B37">
        <v>2002</v>
      </c>
      <c r="C37">
        <v>2022</v>
      </c>
      <c r="D37">
        <v>1955</v>
      </c>
      <c r="F37" t="s">
        <v>60</v>
      </c>
      <c r="G37" t="s">
        <v>2</v>
      </c>
      <c r="H37" t="s">
        <v>128</v>
      </c>
      <c r="I37" t="str">
        <f t="shared" si="0"/>
        <v>FDP</v>
      </c>
    </row>
    <row r="38" spans="1:9" x14ac:dyDescent="0.25">
      <c r="A38" t="s">
        <v>129</v>
      </c>
      <c r="B38">
        <v>2006</v>
      </c>
      <c r="C38">
        <v>2014</v>
      </c>
      <c r="D38">
        <v>1946</v>
      </c>
      <c r="F38" t="s">
        <v>83</v>
      </c>
      <c r="G38" t="s">
        <v>1</v>
      </c>
      <c r="H38" t="s">
        <v>130</v>
      </c>
      <c r="I38" t="str">
        <f t="shared" si="0"/>
        <v>SVP</v>
      </c>
    </row>
    <row r="39" spans="1:9" x14ac:dyDescent="0.25">
      <c r="A39" t="s">
        <v>131</v>
      </c>
      <c r="B39">
        <v>2016</v>
      </c>
      <c r="D39">
        <v>1973</v>
      </c>
      <c r="F39" t="s">
        <v>77</v>
      </c>
      <c r="G39" t="s">
        <v>78</v>
      </c>
      <c r="H39" t="s">
        <v>132</v>
      </c>
      <c r="I39" t="str">
        <f t="shared" si="0"/>
        <v>Die Mitte</v>
      </c>
    </row>
    <row r="40" spans="1:9" x14ac:dyDescent="0.25">
      <c r="A40" t="s">
        <v>133</v>
      </c>
      <c r="B40">
        <v>2020</v>
      </c>
      <c r="D40">
        <v>1964</v>
      </c>
      <c r="F40" t="s">
        <v>52</v>
      </c>
      <c r="G40" t="s">
        <v>43</v>
      </c>
      <c r="H40" t="s">
        <v>134</v>
      </c>
      <c r="I40" t="str">
        <f t="shared" si="0"/>
        <v>Grüne</v>
      </c>
    </row>
    <row r="41" spans="1:9" x14ac:dyDescent="0.25">
      <c r="A41" t="s">
        <v>135</v>
      </c>
      <c r="B41">
        <v>2023</v>
      </c>
      <c r="D41">
        <v>1973</v>
      </c>
      <c r="F41" t="s">
        <v>77</v>
      </c>
      <c r="G41" t="s">
        <v>43</v>
      </c>
      <c r="H41" t="s">
        <v>136</v>
      </c>
      <c r="I41" t="str">
        <f t="shared" si="0"/>
        <v>Grüne</v>
      </c>
    </row>
    <row r="42" spans="1:9" x14ac:dyDescent="0.25">
      <c r="A42" t="s">
        <v>137</v>
      </c>
      <c r="B42">
        <v>2014</v>
      </c>
      <c r="D42">
        <v>1971</v>
      </c>
      <c r="F42" t="s">
        <v>138</v>
      </c>
      <c r="G42" t="s">
        <v>1</v>
      </c>
      <c r="H42" t="s">
        <v>139</v>
      </c>
      <c r="I42" t="str">
        <f t="shared" si="0"/>
        <v>SVP</v>
      </c>
    </row>
    <row r="43" spans="1:9" x14ac:dyDescent="0.25">
      <c r="A43" t="s">
        <v>140</v>
      </c>
      <c r="B43">
        <v>2019</v>
      </c>
      <c r="D43">
        <v>1964</v>
      </c>
      <c r="F43" t="s">
        <v>87</v>
      </c>
      <c r="G43" t="s">
        <v>1</v>
      </c>
      <c r="H43" t="s">
        <v>141</v>
      </c>
      <c r="I43" t="str">
        <f t="shared" si="0"/>
        <v>SVP</v>
      </c>
    </row>
    <row r="44" spans="1:9" x14ac:dyDescent="0.25">
      <c r="A44" s="2" t="s">
        <v>142</v>
      </c>
      <c r="B44" s="2">
        <v>2018</v>
      </c>
      <c r="C44" s="2"/>
      <c r="D44" s="2">
        <v>1964</v>
      </c>
      <c r="E44" s="2"/>
      <c r="F44" s="2" t="s">
        <v>60</v>
      </c>
      <c r="G44" s="2" t="s">
        <v>2</v>
      </c>
      <c r="H44" s="2" t="s">
        <v>143</v>
      </c>
      <c r="I44" s="2" t="str">
        <f t="shared" si="0"/>
        <v>FDP</v>
      </c>
    </row>
    <row r="45" spans="1:9" x14ac:dyDescent="0.25">
      <c r="A45" s="2" t="s">
        <v>144</v>
      </c>
      <c r="B45" s="2">
        <v>2009</v>
      </c>
      <c r="C45" s="2">
        <v>2022</v>
      </c>
      <c r="D45" s="2">
        <v>1954</v>
      </c>
      <c r="E45" s="2"/>
      <c r="F45" s="2" t="s">
        <v>145</v>
      </c>
      <c r="G45" s="2" t="s">
        <v>67</v>
      </c>
      <c r="H45" s="2" t="s">
        <v>146</v>
      </c>
      <c r="I45" s="2" t="str">
        <f t="shared" si="0"/>
        <v>Die Mitte</v>
      </c>
    </row>
    <row r="46" spans="1:9" x14ac:dyDescent="0.25">
      <c r="A46" s="2" t="s">
        <v>147</v>
      </c>
      <c r="B46" s="2">
        <v>2013</v>
      </c>
      <c r="C46" s="2">
        <v>2019</v>
      </c>
      <c r="D46" s="2">
        <v>1953</v>
      </c>
      <c r="E46" s="2"/>
      <c r="F46" s="2" t="s">
        <v>148</v>
      </c>
      <c r="G46" s="2" t="s">
        <v>0</v>
      </c>
      <c r="H46" s="2" t="s">
        <v>149</v>
      </c>
      <c r="I46" s="2" t="str">
        <f t="shared" si="0"/>
        <v>SP</v>
      </c>
    </row>
    <row r="47" spans="1:9" x14ac:dyDescent="0.25">
      <c r="A47" s="2" t="s">
        <v>150</v>
      </c>
      <c r="B47" s="2">
        <v>2013</v>
      </c>
      <c r="C47" s="2"/>
      <c r="D47" s="2">
        <v>1967</v>
      </c>
      <c r="E47" s="2"/>
      <c r="F47" s="2" t="s">
        <v>60</v>
      </c>
      <c r="G47" s="2" t="s">
        <v>0</v>
      </c>
      <c r="H47" s="2" t="s">
        <v>151</v>
      </c>
      <c r="I47" s="2" t="str">
        <f t="shared" si="0"/>
        <v>SP</v>
      </c>
    </row>
    <row r="48" spans="1:9" x14ac:dyDescent="0.25">
      <c r="A48" s="2" t="s">
        <v>152</v>
      </c>
      <c r="B48" s="2">
        <v>2009</v>
      </c>
      <c r="C48" s="2">
        <v>2019</v>
      </c>
      <c r="D48" s="2">
        <v>1951</v>
      </c>
      <c r="E48" s="2"/>
      <c r="F48" s="2" t="s">
        <v>114</v>
      </c>
      <c r="G48" s="2" t="s">
        <v>43</v>
      </c>
      <c r="H48" s="2" t="s">
        <v>153</v>
      </c>
      <c r="I48" s="2" t="str">
        <f t="shared" si="0"/>
        <v>Grüne</v>
      </c>
    </row>
    <row r="49" spans="1:9" x14ac:dyDescent="0.25">
      <c r="A49" s="2" t="s">
        <v>154</v>
      </c>
      <c r="B49" s="2">
        <v>2013</v>
      </c>
      <c r="C49" s="2"/>
      <c r="D49" s="2">
        <v>1976</v>
      </c>
      <c r="E49" s="2"/>
      <c r="F49" s="2" t="s">
        <v>155</v>
      </c>
      <c r="G49" s="2" t="s">
        <v>1</v>
      </c>
      <c r="H49" s="2" t="s">
        <v>156</v>
      </c>
      <c r="I49" s="2" t="str">
        <f t="shared" si="0"/>
        <v>SVP</v>
      </c>
    </row>
    <row r="50" spans="1:9" x14ac:dyDescent="0.25">
      <c r="A50" s="2" t="s">
        <v>157</v>
      </c>
      <c r="B50" s="2">
        <v>2021</v>
      </c>
      <c r="C50" s="2"/>
      <c r="D50" s="2">
        <v>1968</v>
      </c>
      <c r="E50" s="2"/>
      <c r="F50" s="2" t="s">
        <v>87</v>
      </c>
      <c r="G50" s="2" t="s">
        <v>0</v>
      </c>
      <c r="H50" s="2" t="s">
        <v>158</v>
      </c>
      <c r="I50" s="2" t="str">
        <f t="shared" si="0"/>
        <v>SP</v>
      </c>
    </row>
    <row r="51" spans="1:9" x14ac:dyDescent="0.25">
      <c r="A51" s="2" t="s">
        <v>159</v>
      </c>
      <c r="B51" s="2">
        <v>2022</v>
      </c>
      <c r="C51" s="2"/>
      <c r="D51" s="2">
        <v>1970</v>
      </c>
      <c r="E51" s="2"/>
      <c r="F51" s="2" t="s">
        <v>160</v>
      </c>
      <c r="G51" s="2" t="s">
        <v>2</v>
      </c>
      <c r="H51" s="2" t="s">
        <v>161</v>
      </c>
      <c r="I51" s="2" t="str">
        <f t="shared" si="0"/>
        <v>FDP</v>
      </c>
    </row>
    <row r="52" spans="1:9" x14ac:dyDescent="0.25">
      <c r="A52" s="2" t="s">
        <v>162</v>
      </c>
      <c r="B52" s="2">
        <v>2012</v>
      </c>
      <c r="C52" s="2">
        <v>2023</v>
      </c>
      <c r="D52" s="2">
        <v>1958</v>
      </c>
      <c r="E52" s="2"/>
      <c r="F52" s="2" t="s">
        <v>148</v>
      </c>
      <c r="G52" s="2" t="s">
        <v>78</v>
      </c>
      <c r="H52" s="2" t="s">
        <v>163</v>
      </c>
      <c r="I52" s="2" t="str">
        <f>IF(OR(G52="CVP",27="Die Mitte"),"Die Mitte",G52)</f>
        <v>Die Mitte</v>
      </c>
    </row>
    <row r="53" spans="1:9" x14ac:dyDescent="0.25">
      <c r="A53" s="2" t="s">
        <v>164</v>
      </c>
      <c r="B53" s="2">
        <v>2009</v>
      </c>
      <c r="C53" s="2"/>
      <c r="D53" s="2">
        <v>1958</v>
      </c>
      <c r="E53" s="2"/>
      <c r="F53" s="2" t="s">
        <v>165</v>
      </c>
      <c r="G53" s="2" t="s">
        <v>78</v>
      </c>
      <c r="H53" s="2" t="s">
        <v>166</v>
      </c>
      <c r="I53" s="2" t="str">
        <f t="shared" si="0"/>
        <v>Die Mitte</v>
      </c>
    </row>
    <row r="54" spans="1:9" x14ac:dyDescent="0.25">
      <c r="A54" s="2" t="s">
        <v>167</v>
      </c>
      <c r="B54" s="2">
        <v>2001</v>
      </c>
      <c r="C54" s="2">
        <v>2016</v>
      </c>
      <c r="D54" s="2">
        <v>1953</v>
      </c>
      <c r="E54" s="2"/>
      <c r="F54" s="2" t="s">
        <v>89</v>
      </c>
      <c r="G54" s="2" t="s">
        <v>1</v>
      </c>
      <c r="H54" s="2" t="s">
        <v>168</v>
      </c>
      <c r="I54" s="2" t="str">
        <f t="shared" si="0"/>
        <v>SVP</v>
      </c>
    </row>
    <row r="55" spans="1:9" x14ac:dyDescent="0.25">
      <c r="A55" s="2" t="s">
        <v>169</v>
      </c>
      <c r="B55" s="2">
        <v>2019</v>
      </c>
      <c r="C55" s="2"/>
      <c r="D55" s="2">
        <v>1971</v>
      </c>
      <c r="E55" s="2"/>
      <c r="F55" s="2" t="s">
        <v>170</v>
      </c>
      <c r="G55" s="2" t="s">
        <v>1</v>
      </c>
      <c r="H55" s="2" t="s">
        <v>171</v>
      </c>
      <c r="I55" s="2" t="str">
        <f t="shared" si="0"/>
        <v>SVP</v>
      </c>
    </row>
    <row r="56" spans="1:9" x14ac:dyDescent="0.25">
      <c r="A56" s="2" t="s">
        <v>172</v>
      </c>
      <c r="B56" s="2">
        <v>2016</v>
      </c>
      <c r="C56" s="2"/>
      <c r="D56" s="2">
        <v>1963</v>
      </c>
      <c r="E56" s="2"/>
      <c r="F56" s="2" t="s">
        <v>173</v>
      </c>
      <c r="G56" s="2" t="s">
        <v>1</v>
      </c>
      <c r="H56" s="2" t="s">
        <v>174</v>
      </c>
      <c r="I56" s="2" t="str">
        <f t="shared" si="0"/>
        <v>SVP</v>
      </c>
    </row>
    <row r="57" spans="1:9" x14ac:dyDescent="0.25">
      <c r="A57" s="2" t="s">
        <v>175</v>
      </c>
      <c r="B57" s="2">
        <v>2023</v>
      </c>
      <c r="C57" s="2"/>
      <c r="D57" s="2">
        <v>1971</v>
      </c>
      <c r="E57" s="2"/>
      <c r="F57" s="2" t="s">
        <v>176</v>
      </c>
      <c r="G57" s="2" t="s">
        <v>78</v>
      </c>
      <c r="H57" s="2" t="s">
        <v>177</v>
      </c>
      <c r="I57" s="2" t="str">
        <f t="shared" si="0"/>
        <v>Die Mitte</v>
      </c>
    </row>
    <row r="58" spans="1:9" x14ac:dyDescent="0.25">
      <c r="A58" s="2" t="s">
        <v>178</v>
      </c>
      <c r="B58" s="2">
        <v>2009</v>
      </c>
      <c r="C58" s="2">
        <v>2024</v>
      </c>
      <c r="D58" s="2">
        <v>1959</v>
      </c>
      <c r="E58" s="2"/>
      <c r="F58" s="2" t="s">
        <v>87</v>
      </c>
      <c r="G58" s="2" t="s">
        <v>1</v>
      </c>
      <c r="H58" s="2" t="s">
        <v>179</v>
      </c>
      <c r="I58" s="2" t="str">
        <f t="shared" si="0"/>
        <v>SVP</v>
      </c>
    </row>
    <row r="59" spans="1:9" x14ac:dyDescent="0.25">
      <c r="A59" s="2" t="s">
        <v>180</v>
      </c>
      <c r="B59" s="2">
        <v>2016</v>
      </c>
      <c r="C59" s="2">
        <v>2024</v>
      </c>
      <c r="D59" s="2">
        <v>1959</v>
      </c>
      <c r="E59" s="2"/>
      <c r="F59" s="2" t="s">
        <v>89</v>
      </c>
      <c r="G59" s="2" t="s">
        <v>0</v>
      </c>
      <c r="H59" s="2" t="s">
        <v>181</v>
      </c>
      <c r="I59" s="2" t="str">
        <f t="shared" si="0"/>
        <v>SP</v>
      </c>
    </row>
    <row r="60" spans="1:9" x14ac:dyDescent="0.25">
      <c r="A60" s="2" t="s">
        <v>182</v>
      </c>
      <c r="B60" s="2">
        <v>2024</v>
      </c>
      <c r="C60" s="2"/>
      <c r="D60" s="2">
        <v>1975</v>
      </c>
      <c r="E60" s="2"/>
      <c r="F60" s="2" t="s">
        <v>63</v>
      </c>
      <c r="G60" s="2" t="s">
        <v>0</v>
      </c>
      <c r="H60" s="2" t="s">
        <v>183</v>
      </c>
      <c r="I60" s="2" t="str">
        <f t="shared" si="0"/>
        <v>SP</v>
      </c>
    </row>
    <row r="61" spans="1:9" x14ac:dyDescent="0.25">
      <c r="A61" s="2" t="s">
        <v>184</v>
      </c>
      <c r="B61" s="2">
        <v>2004</v>
      </c>
      <c r="C61" s="2">
        <v>2021</v>
      </c>
      <c r="D61" s="2">
        <v>1957</v>
      </c>
      <c r="E61" s="2"/>
      <c r="F61" s="2" t="s">
        <v>148</v>
      </c>
      <c r="G61" s="2" t="s">
        <v>0</v>
      </c>
      <c r="H61" s="2" t="s">
        <v>185</v>
      </c>
      <c r="I61" s="2" t="str">
        <f t="shared" si="0"/>
        <v>SP</v>
      </c>
    </row>
    <row r="62" spans="1:9" x14ac:dyDescent="0.25">
      <c r="A62" s="2" t="s">
        <v>4</v>
      </c>
      <c r="B62" s="2"/>
      <c r="C62" s="2"/>
      <c r="D62" s="2"/>
      <c r="E62" s="2"/>
      <c r="F62" s="2"/>
      <c r="G62" s="2"/>
      <c r="H62" s="2" t="s">
        <v>26</v>
      </c>
      <c r="I62" s="2" t="s">
        <v>1</v>
      </c>
    </row>
    <row r="63" spans="1:9" x14ac:dyDescent="0.25">
      <c r="A63" s="2" t="s">
        <v>5</v>
      </c>
      <c r="B63" s="2"/>
      <c r="C63" s="2"/>
      <c r="D63" s="2"/>
      <c r="E63" s="2"/>
      <c r="F63" s="2"/>
      <c r="G63" s="2"/>
      <c r="H63" s="2" t="s">
        <v>21</v>
      </c>
      <c r="I63" s="2" t="s">
        <v>0</v>
      </c>
    </row>
    <row r="64" spans="1:9" x14ac:dyDescent="0.25">
      <c r="A64" s="2" t="s">
        <v>6</v>
      </c>
      <c r="B64" s="2"/>
      <c r="C64" s="2"/>
      <c r="D64" s="2"/>
      <c r="E64" s="2"/>
      <c r="F64" s="2"/>
      <c r="G64" s="2"/>
      <c r="H64" s="2" t="s">
        <v>22</v>
      </c>
      <c r="I64" s="2" t="s">
        <v>2</v>
      </c>
    </row>
    <row r="65" spans="1:9" x14ac:dyDescent="0.25">
      <c r="A65" s="2" t="s">
        <v>7</v>
      </c>
      <c r="B65" s="2"/>
      <c r="C65" s="2"/>
      <c r="D65" s="2"/>
      <c r="E65" s="2"/>
      <c r="F65" s="2"/>
      <c r="G65" s="2"/>
      <c r="H65" s="2" t="s">
        <v>23</v>
      </c>
      <c r="I65" s="2" t="s">
        <v>1</v>
      </c>
    </row>
    <row r="66" spans="1:9" x14ac:dyDescent="0.25">
      <c r="A66" s="2" t="s">
        <v>8</v>
      </c>
      <c r="B66" s="2"/>
      <c r="C66" s="2"/>
      <c r="D66" s="2"/>
      <c r="E66" s="2"/>
      <c r="F66" s="2"/>
      <c r="G66" s="2"/>
      <c r="H66" s="2" t="s">
        <v>189</v>
      </c>
      <c r="I66" s="2" t="s">
        <v>0</v>
      </c>
    </row>
    <row r="67" spans="1:9" x14ac:dyDescent="0.25">
      <c r="A67" s="2" t="s">
        <v>25</v>
      </c>
      <c r="B67" s="2"/>
      <c r="C67" s="2"/>
      <c r="D67" s="2"/>
      <c r="E67" s="2"/>
      <c r="F67" s="2"/>
      <c r="G67" s="2"/>
      <c r="H67" s="2" t="s">
        <v>192</v>
      </c>
      <c r="I67" s="2" t="s">
        <v>2</v>
      </c>
    </row>
    <row r="68" spans="1:9" x14ac:dyDescent="0.25">
      <c r="A68" s="2" t="s">
        <v>10</v>
      </c>
      <c r="B68" s="2"/>
      <c r="C68" s="2"/>
      <c r="D68" s="2"/>
      <c r="E68" s="2"/>
      <c r="F68" s="2"/>
      <c r="G68" s="2"/>
      <c r="H68" s="2" t="s">
        <v>27</v>
      </c>
      <c r="I68" s="2" t="s">
        <v>78</v>
      </c>
    </row>
    <row r="69" spans="1:9" x14ac:dyDescent="0.25">
      <c r="A69" s="2" t="s">
        <v>9</v>
      </c>
      <c r="B69" s="2"/>
      <c r="C69" s="2"/>
      <c r="D69" s="2"/>
      <c r="E69" s="2"/>
      <c r="F69" s="2"/>
      <c r="G69" s="2"/>
      <c r="H69" s="2" t="s">
        <v>24</v>
      </c>
      <c r="I69" s="2" t="s">
        <v>0</v>
      </c>
    </row>
    <row r="70" spans="1:9" x14ac:dyDescent="0.25">
      <c r="A70" s="2" t="s">
        <v>11</v>
      </c>
      <c r="B70" s="2"/>
      <c r="C70" s="2"/>
      <c r="D70" s="2"/>
      <c r="E70" s="2"/>
      <c r="F70" s="2"/>
      <c r="G70" s="2"/>
      <c r="H70" s="2" t="s">
        <v>28</v>
      </c>
      <c r="I70" s="2" t="s">
        <v>43</v>
      </c>
    </row>
    <row r="71" spans="1:9" x14ac:dyDescent="0.25">
      <c r="A71" s="2" t="s">
        <v>12</v>
      </c>
      <c r="B71" s="2"/>
      <c r="C71" s="2"/>
      <c r="D71" s="2"/>
      <c r="E71" s="2"/>
      <c r="F71" s="2"/>
      <c r="G71" s="2"/>
      <c r="H71" s="2" t="s">
        <v>29</v>
      </c>
      <c r="I71" s="2" t="s">
        <v>2</v>
      </c>
    </row>
    <row r="72" spans="1:9" x14ac:dyDescent="0.25">
      <c r="A72" s="2" t="s">
        <v>13</v>
      </c>
      <c r="B72" s="2"/>
      <c r="C72" s="2"/>
      <c r="D72" s="2"/>
      <c r="E72" s="2"/>
      <c r="F72" s="2"/>
      <c r="G72" s="2"/>
      <c r="H72" s="2" t="s">
        <v>30</v>
      </c>
      <c r="I72" s="2" t="s">
        <v>78</v>
      </c>
    </row>
    <row r="73" spans="1:9" x14ac:dyDescent="0.25">
      <c r="A73" s="2" t="s">
        <v>14</v>
      </c>
      <c r="B73" s="2"/>
      <c r="C73" s="2"/>
      <c r="D73" s="2"/>
      <c r="E73" s="2"/>
      <c r="F73" s="2"/>
      <c r="G73" s="2"/>
      <c r="H73" s="2" t="s">
        <v>31</v>
      </c>
      <c r="I73" s="2" t="s">
        <v>1</v>
      </c>
    </row>
    <row r="74" spans="1:9" x14ac:dyDescent="0.25">
      <c r="A74" s="2" t="s">
        <v>15</v>
      </c>
      <c r="B74" s="2"/>
      <c r="C74" s="2"/>
      <c r="D74" s="2"/>
      <c r="E74" s="2"/>
      <c r="F74" s="2"/>
      <c r="G74" s="2"/>
      <c r="H74" s="2" t="s">
        <v>32</v>
      </c>
      <c r="I74" s="2" t="s">
        <v>43</v>
      </c>
    </row>
    <row r="75" spans="1:9" x14ac:dyDescent="0.25">
      <c r="A75" s="2" t="s">
        <v>16</v>
      </c>
      <c r="B75" s="2"/>
      <c r="C75" s="2"/>
      <c r="D75" s="2"/>
      <c r="E75" s="2"/>
      <c r="F75" s="2"/>
      <c r="G75" s="2"/>
      <c r="H75" s="2" t="s">
        <v>33</v>
      </c>
      <c r="I75" s="2" t="s">
        <v>1</v>
      </c>
    </row>
    <row r="76" spans="1:9" x14ac:dyDescent="0.25">
      <c r="A76" s="2" t="s">
        <v>17</v>
      </c>
      <c r="B76" s="2"/>
      <c r="C76" s="2"/>
      <c r="D76" s="2"/>
      <c r="E76" s="2"/>
      <c r="F76" s="2"/>
      <c r="G76" s="2"/>
      <c r="H76" s="2" t="s">
        <v>34</v>
      </c>
      <c r="I76" s="2" t="s">
        <v>205</v>
      </c>
    </row>
    <row r="77" spans="1:9" x14ac:dyDescent="0.25">
      <c r="A77" s="2" t="s">
        <v>18</v>
      </c>
      <c r="B77" s="2"/>
      <c r="C77" s="2"/>
      <c r="D77" s="2"/>
      <c r="E77" s="2"/>
      <c r="F77" s="2"/>
      <c r="G77" s="2"/>
      <c r="H77" s="2" t="s">
        <v>37</v>
      </c>
      <c r="I77" s="2" t="s">
        <v>84</v>
      </c>
    </row>
    <row r="78" spans="1:9" x14ac:dyDescent="0.25">
      <c r="A78" s="2" t="s">
        <v>19</v>
      </c>
      <c r="B78" s="2"/>
      <c r="C78" s="2"/>
      <c r="D78" s="2"/>
      <c r="E78" s="2"/>
      <c r="F78" s="2"/>
      <c r="G78" s="2"/>
      <c r="H78" s="2" t="s">
        <v>35</v>
      </c>
      <c r="I78" s="2" t="s">
        <v>1</v>
      </c>
    </row>
    <row r="79" spans="1:9" x14ac:dyDescent="0.25">
      <c r="A79" s="2" t="s">
        <v>20</v>
      </c>
      <c r="B79" s="2"/>
      <c r="C79" s="2"/>
      <c r="D79" s="2"/>
      <c r="E79" s="2"/>
      <c r="F79" s="2"/>
      <c r="G79" s="2"/>
      <c r="H79" s="2" t="s">
        <v>36</v>
      </c>
      <c r="I79" s="2" t="s">
        <v>0</v>
      </c>
    </row>
    <row r="80" spans="1:9" x14ac:dyDescent="0.25">
      <c r="A80" s="2" t="s">
        <v>190</v>
      </c>
      <c r="B80" s="2"/>
      <c r="C80" s="2"/>
      <c r="D80" s="2"/>
      <c r="E80" s="2"/>
      <c r="F80" s="2"/>
      <c r="G80" s="2"/>
      <c r="H80" s="2" t="s">
        <v>191</v>
      </c>
      <c r="I80" s="2" t="s">
        <v>78</v>
      </c>
    </row>
    <row r="81" spans="1:9" x14ac:dyDescent="0.25">
      <c r="A81" s="2" t="s">
        <v>193</v>
      </c>
      <c r="B81" s="2"/>
      <c r="C81" s="2"/>
      <c r="D81" s="2"/>
      <c r="E81" s="2"/>
      <c r="F81" s="2"/>
      <c r="G81" s="2"/>
      <c r="H81" s="2" t="s">
        <v>196</v>
      </c>
      <c r="I81" s="2" t="s">
        <v>1</v>
      </c>
    </row>
    <row r="82" spans="1:9" x14ac:dyDescent="0.25">
      <c r="A82" s="2" t="s">
        <v>194</v>
      </c>
      <c r="B82" s="2"/>
      <c r="C82" s="2"/>
      <c r="D82" s="2"/>
      <c r="E82" s="2"/>
      <c r="F82" s="2"/>
      <c r="G82" s="2"/>
      <c r="H82" s="2" t="s">
        <v>195</v>
      </c>
      <c r="I82" s="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Mischa Aebi</cp:lastModifiedBy>
  <dcterms:created xsi:type="dcterms:W3CDTF">2026-07-17T17:04:06Z</dcterms:created>
  <dcterms:modified xsi:type="dcterms:W3CDTF">2026-08-25T16:39:34Z</dcterms:modified>
</cp:coreProperties>
</file>